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tian\Downloads\"/>
    </mc:Choice>
  </mc:AlternateContent>
  <xr:revisionPtr revIDLastSave="0" documentId="13_ncr:1_{ED2E4A89-723B-4F3C-82E4-6D48D25A4439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Inputs" sheetId="1" r:id="rId1"/>
    <sheet name="Fenske_Nmin" sheetId="2" r:id="rId2"/>
    <sheet name="Underwood_Rmin" sheetId="3" r:id="rId3"/>
    <sheet name="Stage_Summar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3" l="1"/>
  <c r="D8" i="3"/>
  <c r="D7" i="3"/>
  <c r="D10" i="3" s="1"/>
  <c r="B11" i="3" s="1"/>
  <c r="B4" i="2"/>
  <c r="B6" i="2" s="1"/>
  <c r="B3" i="2"/>
  <c r="B5" i="2" s="1"/>
  <c r="B7" i="2" s="1"/>
  <c r="B21" i="1"/>
  <c r="B8" i="2" s="1"/>
  <c r="B9" i="2" l="1"/>
  <c r="B3" i="4" s="1"/>
  <c r="B6" i="4" s="1"/>
  <c r="B4" i="4"/>
  <c r="B13" i="3"/>
  <c r="B5" i="4" s="1"/>
</calcChain>
</file>

<file path=xl/sharedStrings.xml><?xml version="1.0" encoding="utf-8"?>
<sst xmlns="http://schemas.openxmlformats.org/spreadsheetml/2006/main" count="46" uniqueCount="43">
  <si>
    <t>C3 Splitter — Preliminary FUG Calculation (DRAFT)</t>
  </si>
  <si>
    <t>Prepared by: J. Almeida (Process Eng., Jr.)   Date: 2024-03-28   Status: DRAFT for review</t>
  </si>
  <si>
    <t>FEED BASIS</t>
  </si>
  <si>
    <t>Component</t>
  </si>
  <si>
    <t>Composition (mol%)</t>
  </si>
  <si>
    <t>Propylene</t>
  </si>
  <si>
    <t>Propane</t>
  </si>
  <si>
    <t>Ethane</t>
  </si>
  <si>
    <t>PRODUCT TARGETS</t>
  </si>
  <si>
    <t>Parameter</t>
  </si>
  <si>
    <t>Value</t>
  </si>
  <si>
    <t>Propylene recovery to distillate (rLK)</t>
  </si>
  <si>
    <t>Propane recovery to distillate (rHK)</t>
  </si>
  <si>
    <t>Distillate propylene purity target</t>
  </si>
  <si>
    <t>RELATIVE VOLATILITY (from Design Basis Sec.5)</t>
  </si>
  <si>
    <t>Location</t>
  </si>
  <si>
    <t>alpha (LK/HK)</t>
  </si>
  <si>
    <t>Top stage</t>
  </si>
  <si>
    <t>Bottom stage</t>
  </si>
  <si>
    <t>alpha used in Fenske -&gt;</t>
  </si>
  <si>
    <t>Fenske — Minimum Number of Stages</t>
  </si>
  <si>
    <t>Light-key recovery to distillate, rLK</t>
  </si>
  <si>
    <t>Heavy-key recovery to distillate, rHK</t>
  </si>
  <si>
    <t>d_LK / b_LK  = rLK/(1-rLK)</t>
  </si>
  <si>
    <t>b_HK / d_HK  = (1-rHK)/rHK</t>
  </si>
  <si>
    <t>Separation factor  = (d_LK/b_LK)(b_HK/d_HK)</t>
  </si>
  <si>
    <t>alpha (used)</t>
  </si>
  <si>
    <t>Nmin = LN(sep)/LN(alpha)</t>
  </si>
  <si>
    <t>Underwood — Minimum Reflux Ratio</t>
  </si>
  <si>
    <t>Underwood root theta (solved offline)</t>
  </si>
  <si>
    <t>Distillate composition (mol frac)</t>
  </si>
  <si>
    <t>Comp</t>
  </si>
  <si>
    <t>alpha_i</t>
  </si>
  <si>
    <t>x_i,D</t>
  </si>
  <si>
    <t>alpha*xD/(alpha-theta)</t>
  </si>
  <si>
    <t>Sum</t>
  </si>
  <si>
    <t>Rmin = Sum - 1</t>
  </si>
  <si>
    <t>Operating reflux  R = 1.5 x Rmin</t>
  </si>
  <si>
    <t>Design Summary</t>
  </si>
  <si>
    <t>Minimum stages, Nmin (Fenske)</t>
  </si>
  <si>
    <t>Minimum reflux, Rmin (Underwood)</t>
  </si>
  <si>
    <t>Operating reflux, R = 1.5 x Rmin</t>
  </si>
  <si>
    <t>Actual theoretical stages,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</si>
</sst>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2"/>
      <color rgb="FF1F3864"/>
      <name val="Arial"/>
      <charset val="1"/>
    </font>
    <font>
      <i/>
      <sz val="9"/>
      <color rgb="FF80808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8"/>
      <color rgb="FF808080"/>
      <name val="Arial"/>
      <charset val="1"/>
    </font>
    <font>
      <i/>
      <sz val="8"/>
      <color rgb="FFC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0" xfId="0" applyFont="1"/>
    <xf numFmtId="0" fontId="6" fillId="3" borderId="0" xfId="0" applyFont="1" applyFill="1"/>
    <xf numFmtId="0" fontId="7" fillId="0" borderId="0" xfId="0" applyFont="1"/>
    <xf numFmtId="0" fontId="6" fillId="0" borderId="0" xfId="0" applyFont="1"/>
    <xf numFmtId="0" fontId="5" fillId="3" borderId="0" xfId="0" applyFont="1" applyFill="1"/>
    <xf numFmtId="0" fontId="8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zoomScaleNormal="100" workbookViewId="0">
      <selection activeCell="C1" sqref="C1:C1048576"/>
    </sheetView>
  </sheetViews>
  <sheetFormatPr defaultColWidth="8.7109375" defaultRowHeight="15" x14ac:dyDescent="0.25"/>
  <cols>
    <col min="1" max="1" width="42" customWidth="1"/>
    <col min="2" max="2" width="20" customWidth="1"/>
  </cols>
  <sheetData>
    <row r="1" spans="1:2" ht="15.75" x14ac:dyDescent="0.25">
      <c r="A1" s="1" t="s">
        <v>0</v>
      </c>
    </row>
    <row r="2" spans="1:2" x14ac:dyDescent="0.25">
      <c r="A2" s="2" t="s">
        <v>1</v>
      </c>
    </row>
    <row r="4" spans="1:2" x14ac:dyDescent="0.25">
      <c r="A4" s="3" t="s">
        <v>2</v>
      </c>
    </row>
    <row r="5" spans="1:2" x14ac:dyDescent="0.25">
      <c r="A5" s="4" t="s">
        <v>3</v>
      </c>
      <c r="B5" s="4" t="s">
        <v>4</v>
      </c>
    </row>
    <row r="6" spans="1:2" x14ac:dyDescent="0.25">
      <c r="A6" s="5" t="s">
        <v>5</v>
      </c>
      <c r="B6" s="6">
        <v>85</v>
      </c>
    </row>
    <row r="7" spans="1:2" x14ac:dyDescent="0.25">
      <c r="A7" s="5" t="s">
        <v>6</v>
      </c>
      <c r="B7" s="8">
        <v>14.84</v>
      </c>
    </row>
    <row r="8" spans="1:2" x14ac:dyDescent="0.25">
      <c r="A8" s="5" t="s">
        <v>7</v>
      </c>
      <c r="B8" s="8">
        <v>0.16</v>
      </c>
    </row>
    <row r="10" spans="1:2" x14ac:dyDescent="0.25">
      <c r="A10" s="3" t="s">
        <v>8</v>
      </c>
    </row>
    <row r="11" spans="1:2" x14ac:dyDescent="0.25">
      <c r="A11" s="4" t="s">
        <v>9</v>
      </c>
      <c r="B11" s="4" t="s">
        <v>10</v>
      </c>
    </row>
    <row r="12" spans="1:2" x14ac:dyDescent="0.25">
      <c r="A12" s="5" t="s">
        <v>11</v>
      </c>
      <c r="B12" s="8">
        <v>0.99990000000000001</v>
      </c>
    </row>
    <row r="13" spans="1:2" x14ac:dyDescent="0.25">
      <c r="A13" s="5" t="s">
        <v>12</v>
      </c>
      <c r="B13" s="8">
        <v>1.4999999999999999E-2</v>
      </c>
    </row>
    <row r="14" spans="1:2" x14ac:dyDescent="0.25">
      <c r="A14" s="5" t="s">
        <v>13</v>
      </c>
      <c r="B14" s="8">
        <v>0.995</v>
      </c>
    </row>
    <row r="16" spans="1:2" x14ac:dyDescent="0.25">
      <c r="A16" s="3" t="s">
        <v>14</v>
      </c>
    </row>
    <row r="17" spans="1:2" x14ac:dyDescent="0.25">
      <c r="A17" s="4" t="s">
        <v>15</v>
      </c>
      <c r="B17" s="4" t="s">
        <v>16</v>
      </c>
    </row>
    <row r="18" spans="1:2" x14ac:dyDescent="0.25">
      <c r="A18" s="5" t="s">
        <v>17</v>
      </c>
      <c r="B18" s="8">
        <v>1.0780000000000001</v>
      </c>
    </row>
    <row r="19" spans="1:2" x14ac:dyDescent="0.25">
      <c r="A19" s="5" t="s">
        <v>18</v>
      </c>
      <c r="B19" s="8">
        <v>1.151</v>
      </c>
    </row>
    <row r="21" spans="1:2" x14ac:dyDescent="0.25">
      <c r="A21" s="3" t="s">
        <v>19</v>
      </c>
      <c r="B21" s="9">
        <f>B18</f>
        <v>1.0780000000000001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Normal="100" workbookViewId="0">
      <selection activeCell="B33" sqref="B33"/>
    </sheetView>
  </sheetViews>
  <sheetFormatPr defaultColWidth="8.7109375" defaultRowHeight="15" x14ac:dyDescent="0.25"/>
  <cols>
    <col min="1" max="1" width="46" customWidth="1"/>
    <col min="2" max="2" width="16" customWidth="1"/>
  </cols>
  <sheetData>
    <row r="1" spans="1:2" ht="15.75" x14ac:dyDescent="0.25">
      <c r="A1" s="1" t="s">
        <v>20</v>
      </c>
    </row>
    <row r="3" spans="1:2" x14ac:dyDescent="0.25">
      <c r="A3" s="5" t="s">
        <v>21</v>
      </c>
      <c r="B3" s="5">
        <f>Inputs!B12</f>
        <v>0.99990000000000001</v>
      </c>
    </row>
    <row r="4" spans="1:2" x14ac:dyDescent="0.25">
      <c r="A4" s="5" t="s">
        <v>22</v>
      </c>
      <c r="B4" s="5">
        <f>Inputs!B13</f>
        <v>1.4999999999999999E-2</v>
      </c>
    </row>
    <row r="5" spans="1:2" x14ac:dyDescent="0.25">
      <c r="A5" s="5" t="s">
        <v>23</v>
      </c>
      <c r="B5" s="5">
        <f>B3/(1-B3)</f>
        <v>9999.0000000011005</v>
      </c>
    </row>
    <row r="6" spans="1:2" x14ac:dyDescent="0.25">
      <c r="A6" s="5" t="s">
        <v>24</v>
      </c>
      <c r="B6" s="5">
        <f>(1-B4)/B4</f>
        <v>65.666666666666671</v>
      </c>
    </row>
    <row r="7" spans="1:2" x14ac:dyDescent="0.25">
      <c r="A7" s="5" t="s">
        <v>25</v>
      </c>
      <c r="B7" s="5">
        <f>B5*B6</f>
        <v>656601.00000007229</v>
      </c>
    </row>
    <row r="8" spans="1:2" x14ac:dyDescent="0.25">
      <c r="A8" s="5" t="s">
        <v>26</v>
      </c>
      <c r="B8" s="5">
        <f>Inputs!B21</f>
        <v>1.0780000000000001</v>
      </c>
    </row>
    <row r="9" spans="1:2" x14ac:dyDescent="0.25">
      <c r="A9" s="3" t="s">
        <v>27</v>
      </c>
      <c r="B9" s="11">
        <f>LN(B7)/LN(B8)</f>
        <v>178.34219903217991</v>
      </c>
    </row>
    <row r="11" spans="1:2" x14ac:dyDescent="0.25">
      <c r="A11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Normal="100" workbookViewId="0"/>
  </sheetViews>
  <sheetFormatPr defaultColWidth="8.7109375" defaultRowHeight="15" x14ac:dyDescent="0.25"/>
  <cols>
    <col min="1" max="1" width="34" customWidth="1"/>
    <col min="2" max="4" width="20" customWidth="1"/>
  </cols>
  <sheetData>
    <row r="1" spans="1:4" ht="15.75" x14ac:dyDescent="0.25">
      <c r="A1" s="1" t="s">
        <v>28</v>
      </c>
    </row>
    <row r="3" spans="1:4" x14ac:dyDescent="0.25">
      <c r="A3" s="5" t="s">
        <v>29</v>
      </c>
      <c r="B3" s="6">
        <v>1.0154300000000001</v>
      </c>
    </row>
    <row r="5" spans="1:4" x14ac:dyDescent="0.25">
      <c r="A5" s="3" t="s">
        <v>30</v>
      </c>
    </row>
    <row r="6" spans="1:4" x14ac:dyDescent="0.25">
      <c r="A6" s="4" t="s">
        <v>31</v>
      </c>
      <c r="B6" s="4" t="s">
        <v>32</v>
      </c>
      <c r="C6" s="4" t="s">
        <v>33</v>
      </c>
      <c r="D6" s="4" t="s">
        <v>34</v>
      </c>
    </row>
    <row r="7" spans="1:4" x14ac:dyDescent="0.25">
      <c r="A7" s="5" t="s">
        <v>7</v>
      </c>
      <c r="B7" s="8">
        <v>2.2570000000000001</v>
      </c>
      <c r="C7" s="8">
        <v>1.8699999999999999E-3</v>
      </c>
      <c r="D7" s="5">
        <f>B7*C7/(B7-$B$3)</f>
        <v>3.3993975369894566E-3</v>
      </c>
    </row>
    <row r="8" spans="1:4" x14ac:dyDescent="0.25">
      <c r="A8" s="5" t="s">
        <v>5</v>
      </c>
      <c r="B8" s="8">
        <v>1.1138999999999999</v>
      </c>
      <c r="C8" s="8">
        <v>0.99551999999999996</v>
      </c>
      <c r="D8" s="5">
        <f>B8*C8/(B8-$B$3)</f>
        <v>11.261396648725517</v>
      </c>
    </row>
    <row r="9" spans="1:4" x14ac:dyDescent="0.25">
      <c r="A9" s="5" t="s">
        <v>6</v>
      </c>
      <c r="B9" s="8">
        <v>1</v>
      </c>
      <c r="C9" s="8">
        <v>2.6099999999999999E-3</v>
      </c>
      <c r="D9" s="5">
        <f>B9*C9/(B9-$B$3)</f>
        <v>-0.16915100453661638</v>
      </c>
    </row>
    <row r="10" spans="1:4" x14ac:dyDescent="0.25">
      <c r="A10" s="3" t="s">
        <v>35</v>
      </c>
      <c r="D10" s="3">
        <f>SUM(D7:D9)</f>
        <v>11.095645041725891</v>
      </c>
    </row>
    <row r="11" spans="1:4" x14ac:dyDescent="0.25">
      <c r="A11" s="3" t="s">
        <v>36</v>
      </c>
      <c r="B11" s="11">
        <f>D10-1</f>
        <v>10.095645041725891</v>
      </c>
    </row>
    <row r="13" spans="1:4" x14ac:dyDescent="0.25">
      <c r="A13" s="3" t="s">
        <v>37</v>
      </c>
      <c r="B13" s="11">
        <f>1.5*B11</f>
        <v>15.143467562588837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tabSelected="1" zoomScaleNormal="100" workbookViewId="0">
      <selection activeCell="A8" sqref="A8:A10"/>
    </sheetView>
  </sheetViews>
  <sheetFormatPr defaultColWidth="8.7109375" defaultRowHeight="15" x14ac:dyDescent="0.25"/>
  <cols>
    <col min="1" max="1" width="44" customWidth="1"/>
    <col min="2" max="2" width="16" customWidth="1"/>
  </cols>
  <sheetData>
    <row r="1" spans="1:2" ht="15.75" x14ac:dyDescent="0.25">
      <c r="A1" s="1" t="s">
        <v>38</v>
      </c>
    </row>
    <row r="3" spans="1:2" x14ac:dyDescent="0.25">
      <c r="A3" s="5" t="s">
        <v>39</v>
      </c>
      <c r="B3" s="5">
        <f>Fenske_Nmin!B9</f>
        <v>178.34219903217991</v>
      </c>
    </row>
    <row r="4" spans="1:2" x14ac:dyDescent="0.25">
      <c r="A4" s="5" t="s">
        <v>40</v>
      </c>
      <c r="B4" s="5">
        <f>Underwood_Rmin!B11</f>
        <v>10.095645041725891</v>
      </c>
    </row>
    <row r="5" spans="1:2" x14ac:dyDescent="0.25">
      <c r="A5" s="5" t="s">
        <v>41</v>
      </c>
      <c r="B5" s="5">
        <f>Underwood_Rmin!B13</f>
        <v>15.143467562588837</v>
      </c>
    </row>
    <row r="6" spans="1:2" x14ac:dyDescent="0.25">
      <c r="A6" s="3" t="s">
        <v>42</v>
      </c>
      <c r="B6" s="11">
        <f>B3</f>
        <v>178.34219903217991</v>
      </c>
    </row>
    <row r="8" spans="1:2" x14ac:dyDescent="0.25">
      <c r="A8" s="10"/>
    </row>
    <row r="9" spans="1:2" x14ac:dyDescent="0.25">
      <c r="A9" s="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Fenske_Nmin</vt:lpstr>
      <vt:lpstr>Underwood_Rmin</vt:lpstr>
      <vt:lpstr>Stage_Summary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Jiaming Tian</cp:lastModifiedBy>
  <cp:revision>0</cp:revision>
  <dcterms:created xsi:type="dcterms:W3CDTF">2026-05-31T14:54:32Z</dcterms:created>
  <dcterms:modified xsi:type="dcterms:W3CDTF">2026-05-31T15:00:33Z</dcterms:modified>
  <dc:language>en-US</dc:language>
</cp:coreProperties>
</file>